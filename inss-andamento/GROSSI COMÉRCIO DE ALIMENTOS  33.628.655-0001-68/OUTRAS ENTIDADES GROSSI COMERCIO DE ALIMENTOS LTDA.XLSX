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v2\Documents\Tributo Justo\Nova pasta\KFC\"/>
    </mc:Choice>
  </mc:AlternateContent>
  <bookViews>
    <workbookView xWindow="0" yWindow="0" windowWidth="28800" windowHeight="12585" activeTab="1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" l="1"/>
  <c r="D8" i="2" s="1"/>
  <c r="C5" i="2"/>
  <c r="D5" i="2" s="1"/>
  <c r="C6" i="2"/>
  <c r="D6" i="2" s="1"/>
  <c r="C7" i="2"/>
  <c r="D7" i="2" s="1"/>
  <c r="C9" i="2"/>
  <c r="D9" i="2" s="1"/>
  <c r="C10" i="2"/>
  <c r="D10" i="2" s="1"/>
  <c r="C11" i="2"/>
  <c r="D11" i="2" s="1"/>
  <c r="C2" i="2" l="1"/>
  <c r="D2" i="2" s="1"/>
  <c r="C3" i="2"/>
  <c r="D3" i="2" s="1"/>
  <c r="C4" i="2"/>
  <c r="D4" i="2" s="1"/>
  <c r="D12" i="2" l="1"/>
  <c r="C1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<sst xmlns="http://schemas.openxmlformats.org/spreadsheetml/2006/main" count="7" uniqueCount="7">
  <si>
    <t>Valor</t>
  </si>
  <si>
    <t>Data</t>
  </si>
  <si>
    <t>Periodo</t>
  </si>
  <si>
    <t>Crédito</t>
  </si>
  <si>
    <t>Atualizado</t>
  </si>
  <si>
    <t>Outras Entidades</t>
  </si>
  <si>
    <t>13/19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</si>
</sst>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0" fillId="0" borderId="0" xfId="0" applyNumberFormat="1"/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17" sqref="C17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140625" bestFit="1" customWidth="1"/>
  </cols>
  <sheetData>
    <row r="1" spans="1:3" x14ac:dyDescent="0.25">
      <c r="A1" t="s">
        <v>1</v>
      </c>
      <c r="C1" t="s">
        <v>0</v>
      </c>
    </row>
    <row r="2" spans="1:3" x14ac:dyDescent="0.25">
      <c r="A2" s="1">
        <v>36619</v>
      </c>
      <c r="B2" s="7">
        <f>YEAR(A2)</f>
        <v>2000</v>
      </c>
      <c r="C2" s="2">
        <v>151</v>
      </c>
    </row>
    <row r="3" spans="1:3" x14ac:dyDescent="0.25">
      <c r="A3" s="1">
        <v>36982</v>
      </c>
      <c r="B3" s="7">
        <f t="shared" ref="B3:B22" si="0">YEAR(A3)</f>
        <v>2001</v>
      </c>
      <c r="C3" s="2">
        <v>180</v>
      </c>
    </row>
    <row r="4" spans="1:3" x14ac:dyDescent="0.25">
      <c r="A4" s="1">
        <v>37347</v>
      </c>
      <c r="B4" s="7">
        <f t="shared" si="0"/>
        <v>2002</v>
      </c>
      <c r="C4" s="2">
        <v>200</v>
      </c>
    </row>
    <row r="5" spans="1:3" x14ac:dyDescent="0.25">
      <c r="A5" s="1">
        <v>37712</v>
      </c>
      <c r="B5" s="7">
        <f t="shared" si="0"/>
        <v>2003</v>
      </c>
      <c r="C5" s="2">
        <v>240</v>
      </c>
    </row>
    <row r="6" spans="1:3" x14ac:dyDescent="0.25">
      <c r="A6" s="1">
        <v>38108</v>
      </c>
      <c r="B6" s="7">
        <f t="shared" si="0"/>
        <v>2004</v>
      </c>
      <c r="C6" s="2">
        <v>260</v>
      </c>
    </row>
    <row r="7" spans="1:3" x14ac:dyDescent="0.25">
      <c r="A7" s="1">
        <v>38473</v>
      </c>
      <c r="B7" s="7">
        <f t="shared" si="0"/>
        <v>2005</v>
      </c>
      <c r="C7" s="2">
        <v>300</v>
      </c>
    </row>
    <row r="8" spans="1:3" x14ac:dyDescent="0.25">
      <c r="A8" s="1">
        <v>38808</v>
      </c>
      <c r="B8" s="7">
        <f t="shared" si="0"/>
        <v>2006</v>
      </c>
      <c r="C8" s="2">
        <v>350</v>
      </c>
    </row>
    <row r="9" spans="1:3" x14ac:dyDescent="0.25">
      <c r="A9" s="1">
        <v>39173</v>
      </c>
      <c r="B9" s="7">
        <f t="shared" si="0"/>
        <v>2007</v>
      </c>
      <c r="C9" s="2">
        <v>380</v>
      </c>
    </row>
    <row r="10" spans="1:3" x14ac:dyDescent="0.25">
      <c r="A10" s="1">
        <v>39508</v>
      </c>
      <c r="B10" s="7">
        <f t="shared" si="0"/>
        <v>2008</v>
      </c>
      <c r="C10" s="2">
        <v>415</v>
      </c>
    </row>
    <row r="11" spans="1:3" x14ac:dyDescent="0.25">
      <c r="A11" s="1">
        <v>39845</v>
      </c>
      <c r="B11" s="7">
        <f t="shared" si="0"/>
        <v>2009</v>
      </c>
      <c r="C11" s="2">
        <v>465</v>
      </c>
    </row>
    <row r="12" spans="1:3" x14ac:dyDescent="0.25">
      <c r="A12" s="1">
        <v>40179</v>
      </c>
      <c r="B12" s="7">
        <f t="shared" si="0"/>
        <v>2010</v>
      </c>
      <c r="C12" s="2">
        <v>510</v>
      </c>
    </row>
    <row r="13" spans="1:3" x14ac:dyDescent="0.25">
      <c r="A13" s="1">
        <v>40603</v>
      </c>
      <c r="B13" s="7">
        <f t="shared" si="0"/>
        <v>2011</v>
      </c>
      <c r="C13" s="2">
        <v>545</v>
      </c>
    </row>
    <row r="14" spans="1:3" x14ac:dyDescent="0.25">
      <c r="A14" s="1">
        <v>40909</v>
      </c>
      <c r="B14" s="7">
        <f t="shared" si="0"/>
        <v>2012</v>
      </c>
      <c r="C14" s="2">
        <v>622</v>
      </c>
    </row>
    <row r="15" spans="1:3" x14ac:dyDescent="0.25">
      <c r="A15" s="1">
        <v>41275</v>
      </c>
      <c r="B15" s="7">
        <f t="shared" si="0"/>
        <v>2013</v>
      </c>
      <c r="C15" s="2">
        <v>678</v>
      </c>
    </row>
    <row r="16" spans="1:3" x14ac:dyDescent="0.25">
      <c r="A16" s="1">
        <v>41640</v>
      </c>
      <c r="B16" s="7">
        <f t="shared" si="0"/>
        <v>2014</v>
      </c>
      <c r="C16" s="2">
        <v>724</v>
      </c>
    </row>
    <row r="17" spans="1:3" x14ac:dyDescent="0.25">
      <c r="A17" s="1">
        <v>42005</v>
      </c>
      <c r="B17" s="7">
        <f t="shared" si="0"/>
        <v>2015</v>
      </c>
      <c r="C17" s="2">
        <v>788</v>
      </c>
    </row>
    <row r="18" spans="1:3" x14ac:dyDescent="0.25">
      <c r="A18" s="1">
        <v>42370</v>
      </c>
      <c r="B18" s="7">
        <f t="shared" si="0"/>
        <v>2016</v>
      </c>
      <c r="C18" s="2">
        <v>880</v>
      </c>
    </row>
    <row r="19" spans="1:3" x14ac:dyDescent="0.25">
      <c r="A19" s="1">
        <v>42736</v>
      </c>
      <c r="B19" s="7">
        <f t="shared" si="0"/>
        <v>2017</v>
      </c>
      <c r="C19" s="2">
        <v>937</v>
      </c>
    </row>
    <row r="20" spans="1:3" x14ac:dyDescent="0.25">
      <c r="A20" s="1">
        <v>43101</v>
      </c>
      <c r="B20" s="7">
        <f t="shared" si="0"/>
        <v>2018</v>
      </c>
      <c r="C20" s="2">
        <v>954</v>
      </c>
    </row>
    <row r="21" spans="1:3" x14ac:dyDescent="0.25">
      <c r="A21" s="1">
        <v>43466</v>
      </c>
      <c r="B21" s="7">
        <f t="shared" si="0"/>
        <v>2019</v>
      </c>
      <c r="C21" s="2">
        <v>998</v>
      </c>
    </row>
    <row r="22" spans="1:3" x14ac:dyDescent="0.25">
      <c r="A22" s="1">
        <v>43862</v>
      </c>
      <c r="B22" s="7">
        <f t="shared" si="0"/>
        <v>2020</v>
      </c>
      <c r="C22" s="2">
        <v>1045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D12" sqref="D12"/>
    </sheetView>
  </sheetViews>
  <sheetFormatPr defaultRowHeight="15" x14ac:dyDescent="0.25"/>
  <cols>
    <col min="1" max="1" width="8" style="3" bestFit="1" customWidth="1"/>
    <col min="2" max="2" width="16.140625" style="5" bestFit="1" customWidth="1"/>
    <col min="3" max="3" width="13.28515625" style="3" bestFit="1" customWidth="1"/>
    <col min="4" max="4" width="14.28515625" style="3" bestFit="1" customWidth="1"/>
    <col min="5" max="5" width="12.140625" bestFit="1" customWidth="1"/>
  </cols>
  <sheetData>
    <row r="1" spans="1:5" x14ac:dyDescent="0.25">
      <c r="A1" s="3" t="s">
        <v>2</v>
      </c>
      <c r="B1" s="5" t="s">
        <v>5</v>
      </c>
      <c r="C1" s="3" t="s">
        <v>3</v>
      </c>
      <c r="D1" s="3" t="s">
        <v>4</v>
      </c>
    </row>
    <row r="2" spans="1:5" x14ac:dyDescent="0.25">
      <c r="A2" s="4">
        <v>43647</v>
      </c>
      <c r="B2" s="2">
        <v>1212.2243599999999</v>
      </c>
      <c r="C2" s="5">
        <f>IFERROR(B2-(((VLOOKUP(YEAR(A2),Plan1!B:C,2,0)*20)*0.058)),0)</f>
        <v>54.54435999999987</v>
      </c>
      <c r="D2" s="5">
        <f t="shared" ref="D2:D4" si="0">IFERROR(C2*1.35, "")</f>
        <v>73.634885999999824</v>
      </c>
      <c r="E2" s="2"/>
    </row>
    <row r="3" spans="1:5" x14ac:dyDescent="0.25">
      <c r="A3" s="4">
        <v>43678</v>
      </c>
      <c r="B3" s="2">
        <v>2792.15074</v>
      </c>
      <c r="C3" s="5">
        <f>IFERROR(B3-(((VLOOKUP(YEAR(A3),Plan1!B:C,2,0)*20)*0.058)),0)</f>
        <v>1634.47074</v>
      </c>
      <c r="D3" s="5">
        <f t="shared" si="0"/>
        <v>2206.5354990000001</v>
      </c>
      <c r="E3" s="2"/>
    </row>
    <row r="4" spans="1:5" x14ac:dyDescent="0.25">
      <c r="A4" s="4">
        <v>43709</v>
      </c>
      <c r="B4" s="2">
        <v>4923.9529199999997</v>
      </c>
      <c r="C4" s="5">
        <f>IFERROR(B4-(((VLOOKUP(YEAR(A4),Plan1!B:C,2,0)*20)*0.058)),0)</f>
        <v>3766.2729199999994</v>
      </c>
      <c r="D4" s="5">
        <f t="shared" si="0"/>
        <v>5084.4684419999994</v>
      </c>
      <c r="E4" s="2"/>
    </row>
    <row r="5" spans="1:5" x14ac:dyDescent="0.25">
      <c r="A5" s="4">
        <v>43739</v>
      </c>
      <c r="B5" s="5">
        <v>7984.7016599999997</v>
      </c>
      <c r="C5" s="5">
        <f>IFERROR(B5-(((VLOOKUP(YEAR(A5),Plan1!B:C,2,0)*20)*0.058)),0)</f>
        <v>6827.0216599999994</v>
      </c>
      <c r="D5" s="5">
        <f t="shared" ref="D5:D11" si="1">IFERROR(C5*1.35, "")</f>
        <v>9216.4792409999991</v>
      </c>
    </row>
    <row r="6" spans="1:5" x14ac:dyDescent="0.25">
      <c r="A6" s="4">
        <v>43770</v>
      </c>
      <c r="B6" s="5">
        <v>10282.17446</v>
      </c>
      <c r="C6" s="5">
        <f>IFERROR(B6-(((VLOOKUP(YEAR(A6),Plan1!B:C,2,0)*20)*0.058)),0)</f>
        <v>9124.4944599999999</v>
      </c>
      <c r="D6" s="5">
        <f t="shared" si="1"/>
        <v>12318.067521000001</v>
      </c>
    </row>
    <row r="7" spans="1:5" x14ac:dyDescent="0.25">
      <c r="A7" s="4">
        <v>43800</v>
      </c>
      <c r="B7" s="5">
        <v>11752.49244</v>
      </c>
      <c r="C7" s="5">
        <f>IFERROR(B7-(((VLOOKUP(YEAR(A7),Plan1!B:C,2,0)*20)*0.058)),0)</f>
        <v>10594.81244</v>
      </c>
      <c r="D7" s="5">
        <f t="shared" si="1"/>
        <v>14302.996794000001</v>
      </c>
    </row>
    <row r="8" spans="1:5" x14ac:dyDescent="0.25">
      <c r="A8" s="4" t="s">
        <v>6</v>
      </c>
      <c r="B8" s="5">
        <v>2607.1063800000002</v>
      </c>
      <c r="C8" s="5">
        <f>IFERROR(B8-(((VLOOKUP(YEAR(A7),Plan1!B:C,2,0)*20)*0.058)),0)</f>
        <v>1449.4263800000001</v>
      </c>
      <c r="D8" s="5">
        <f t="shared" si="1"/>
        <v>1956.7256130000003</v>
      </c>
    </row>
    <row r="9" spans="1:5" x14ac:dyDescent="0.25">
      <c r="A9" s="4">
        <v>43831</v>
      </c>
      <c r="B9" s="5">
        <v>10184.872499999999</v>
      </c>
      <c r="C9" s="5">
        <f>IFERROR(B9-(((VLOOKUP(YEAR(A9),Plan1!B:C,2,0)*20)*0.058)),0)</f>
        <v>8972.6724999999988</v>
      </c>
      <c r="D9" s="5">
        <f t="shared" si="1"/>
        <v>12113.107875</v>
      </c>
    </row>
    <row r="10" spans="1:5" x14ac:dyDescent="0.25">
      <c r="A10" s="4">
        <v>43862</v>
      </c>
      <c r="B10" s="5">
        <v>8840.0728999999992</v>
      </c>
      <c r="C10" s="5">
        <f>IFERROR(B10-(((VLOOKUP(YEAR(A10),Plan1!B:C,2,0)*20)*0.058)),0)</f>
        <v>7627.8728999999994</v>
      </c>
      <c r="D10" s="5">
        <f t="shared" si="1"/>
        <v>10297.628414999999</v>
      </c>
    </row>
    <row r="11" spans="1:5" x14ac:dyDescent="0.25">
      <c r="A11" s="4">
        <v>43891</v>
      </c>
      <c r="B11" s="5">
        <v>8895.6850400000003</v>
      </c>
      <c r="C11" s="5">
        <f>IFERROR(B11-(((VLOOKUP(YEAR(A11),Plan1!B:C,2,0)*20)*0.058)),0)</f>
        <v>7683.4850400000005</v>
      </c>
      <c r="D11" s="5">
        <f t="shared" si="1"/>
        <v>10372.704804000001</v>
      </c>
    </row>
    <row r="12" spans="1:5" x14ac:dyDescent="0.25">
      <c r="C12" s="6">
        <f>SUM(C2:C11)</f>
        <v>57735.073400000001</v>
      </c>
      <c r="D12" s="6">
        <f>SUM(D2:D11)</f>
        <v>77942.349090000003</v>
      </c>
    </row>
  </sheetData>
  <sortState ref="A47:B64">
    <sortCondition ref="A47:A64"/>
  </sortState>
  <conditionalFormatting sqref="D1:D104857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Dev2</dc:creator>
  <cp:lastModifiedBy>Dev2</cp:lastModifiedBy>
  <dcterms:created xsi:type="dcterms:W3CDTF">2020-03-16T15:07:10Z</dcterms:created>
  <dcterms:modified xsi:type="dcterms:W3CDTF">2020-04-23T20:36:58Z</dcterms:modified>
</cp:coreProperties>
</file>