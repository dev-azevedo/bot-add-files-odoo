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v2\Documents\Tributo Justo\Julia\IRMAOS PEGORARO &amp; CIA LTDA\"/>
    </mc:Choice>
  </mc:AlternateContent>
  <bookViews>
    <workbookView xWindow="0" yWindow="0" windowWidth="28800" windowHeight="12585" activeTab="1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2" l="1"/>
  <c r="C1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<sst xmlns="http://schemas.openxmlformats.org/spreadsheetml/2006/main" count="7" uniqueCount="7">
  <si>
    <t>Valor</t>
  </si>
  <si>
    <t>Data</t>
  </si>
  <si>
    <t>Periodo</t>
  </si>
  <si>
    <t>Crédito</t>
  </si>
  <si>
    <t>Atualizado</t>
  </si>
  <si>
    <t>Outras Entidades</t>
  </si>
  <si>
    <t>13/18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</si>
</sst>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applyNumberFormat="1"/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17" sqref="C17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.140625" bestFit="1" customWidth="1"/>
  </cols>
  <sheetData>
    <row r="1" spans="1:3" x14ac:dyDescent="0.25">
      <c r="A1" t="s">
        <v>1</v>
      </c>
      <c r="C1" t="s">
        <v>0</v>
      </c>
    </row>
    <row r="2" spans="1:3" x14ac:dyDescent="0.25">
      <c r="A2" s="1">
        <v>36619</v>
      </c>
      <c r="B2" s="7">
        <f>YEAR(A2)</f>
        <v>2000</v>
      </c>
      <c r="C2" s="2">
        <v>151</v>
      </c>
    </row>
    <row r="3" spans="1:3" x14ac:dyDescent="0.25">
      <c r="A3" s="1">
        <v>36982</v>
      </c>
      <c r="B3" s="7">
        <f t="shared" ref="B3:B22" si="0">YEAR(A3)</f>
        <v>2001</v>
      </c>
      <c r="C3" s="2">
        <v>180</v>
      </c>
    </row>
    <row r="4" spans="1:3" x14ac:dyDescent="0.25">
      <c r="A4" s="1">
        <v>37347</v>
      </c>
      <c r="B4" s="7">
        <f t="shared" si="0"/>
        <v>2002</v>
      </c>
      <c r="C4" s="2">
        <v>200</v>
      </c>
    </row>
    <row r="5" spans="1:3" x14ac:dyDescent="0.25">
      <c r="A5" s="1">
        <v>37712</v>
      </c>
      <c r="B5" s="7">
        <f t="shared" si="0"/>
        <v>2003</v>
      </c>
      <c r="C5" s="2">
        <v>240</v>
      </c>
    </row>
    <row r="6" spans="1:3" x14ac:dyDescent="0.25">
      <c r="A6" s="1">
        <v>38108</v>
      </c>
      <c r="B6" s="7">
        <f t="shared" si="0"/>
        <v>2004</v>
      </c>
      <c r="C6" s="2">
        <v>260</v>
      </c>
    </row>
    <row r="7" spans="1:3" x14ac:dyDescent="0.25">
      <c r="A7" s="1">
        <v>38473</v>
      </c>
      <c r="B7" s="7">
        <f t="shared" si="0"/>
        <v>2005</v>
      </c>
      <c r="C7" s="2">
        <v>300</v>
      </c>
    </row>
    <row r="8" spans="1:3" x14ac:dyDescent="0.25">
      <c r="A8" s="1">
        <v>38808</v>
      </c>
      <c r="B8" s="7">
        <f t="shared" si="0"/>
        <v>2006</v>
      </c>
      <c r="C8" s="2">
        <v>350</v>
      </c>
    </row>
    <row r="9" spans="1:3" x14ac:dyDescent="0.25">
      <c r="A9" s="1">
        <v>39173</v>
      </c>
      <c r="B9" s="7">
        <f t="shared" si="0"/>
        <v>2007</v>
      </c>
      <c r="C9" s="2">
        <v>380</v>
      </c>
    </row>
    <row r="10" spans="1:3" x14ac:dyDescent="0.25">
      <c r="A10" s="1">
        <v>39508</v>
      </c>
      <c r="B10" s="7">
        <f t="shared" si="0"/>
        <v>2008</v>
      </c>
      <c r="C10" s="2">
        <v>415</v>
      </c>
    </row>
    <row r="11" spans="1:3" x14ac:dyDescent="0.25">
      <c r="A11" s="1">
        <v>39845</v>
      </c>
      <c r="B11" s="7">
        <f t="shared" si="0"/>
        <v>2009</v>
      </c>
      <c r="C11" s="2">
        <v>465</v>
      </c>
    </row>
    <row r="12" spans="1:3" x14ac:dyDescent="0.25">
      <c r="A12" s="1">
        <v>40179</v>
      </c>
      <c r="B12" s="7">
        <f t="shared" si="0"/>
        <v>2010</v>
      </c>
      <c r="C12" s="2">
        <v>510</v>
      </c>
    </row>
    <row r="13" spans="1:3" x14ac:dyDescent="0.25">
      <c r="A13" s="1">
        <v>40603</v>
      </c>
      <c r="B13" s="7">
        <f t="shared" si="0"/>
        <v>2011</v>
      </c>
      <c r="C13" s="2">
        <v>545</v>
      </c>
    </row>
    <row r="14" spans="1:3" x14ac:dyDescent="0.25">
      <c r="A14" s="1">
        <v>40909</v>
      </c>
      <c r="B14" s="7">
        <f t="shared" si="0"/>
        <v>2012</v>
      </c>
      <c r="C14" s="2">
        <v>622</v>
      </c>
    </row>
    <row r="15" spans="1:3" x14ac:dyDescent="0.25">
      <c r="A15" s="1">
        <v>41275</v>
      </c>
      <c r="B15" s="7">
        <f t="shared" si="0"/>
        <v>2013</v>
      </c>
      <c r="C15" s="2">
        <v>678</v>
      </c>
    </row>
    <row r="16" spans="1:3" x14ac:dyDescent="0.25">
      <c r="A16" s="1">
        <v>41640</v>
      </c>
      <c r="B16" s="7">
        <f t="shared" si="0"/>
        <v>2014</v>
      </c>
      <c r="C16" s="2">
        <v>724</v>
      </c>
    </row>
    <row r="17" spans="1:3" x14ac:dyDescent="0.25">
      <c r="A17" s="1">
        <v>42005</v>
      </c>
      <c r="B17" s="7">
        <f t="shared" si="0"/>
        <v>2015</v>
      </c>
      <c r="C17" s="2">
        <v>788</v>
      </c>
    </row>
    <row r="18" spans="1:3" x14ac:dyDescent="0.25">
      <c r="A18" s="1">
        <v>42370</v>
      </c>
      <c r="B18" s="7">
        <f t="shared" si="0"/>
        <v>2016</v>
      </c>
      <c r="C18" s="2">
        <v>880</v>
      </c>
    </row>
    <row r="19" spans="1:3" x14ac:dyDescent="0.25">
      <c r="A19" s="1">
        <v>42736</v>
      </c>
      <c r="B19" s="7">
        <f t="shared" si="0"/>
        <v>2017</v>
      </c>
      <c r="C19" s="2">
        <v>937</v>
      </c>
    </row>
    <row r="20" spans="1:3" x14ac:dyDescent="0.25">
      <c r="A20" s="1">
        <v>43101</v>
      </c>
      <c r="B20" s="7">
        <f t="shared" si="0"/>
        <v>2018</v>
      </c>
      <c r="C20" s="2">
        <v>954</v>
      </c>
    </row>
    <row r="21" spans="1:3" x14ac:dyDescent="0.25">
      <c r="A21" s="1">
        <v>43466</v>
      </c>
      <c r="B21" s="7">
        <f t="shared" si="0"/>
        <v>2019</v>
      </c>
      <c r="C21" s="2">
        <v>998</v>
      </c>
    </row>
    <row r="22" spans="1:3" x14ac:dyDescent="0.25">
      <c r="A22" s="1">
        <v>43862</v>
      </c>
      <c r="B22" s="7">
        <f t="shared" si="0"/>
        <v>2020</v>
      </c>
      <c r="C22" s="2">
        <v>1045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7" sqref="D7"/>
    </sheetView>
  </sheetViews>
  <sheetFormatPr defaultRowHeight="15" x14ac:dyDescent="0.25"/>
  <cols>
    <col min="1" max="1" width="8" style="3" bestFit="1" customWidth="1"/>
    <col min="2" max="2" width="16.140625" style="3" bestFit="1" customWidth="1"/>
    <col min="3" max="3" width="13.28515625" style="3" bestFit="1" customWidth="1"/>
    <col min="4" max="4" width="14.28515625" style="3" bestFit="1" customWidth="1"/>
    <col min="5" max="5" width="12.140625" bestFit="1" customWidth="1"/>
  </cols>
  <sheetData>
    <row r="1" spans="1:5" x14ac:dyDescent="0.25">
      <c r="A1" s="3" t="s">
        <v>2</v>
      </c>
      <c r="B1" s="3" t="s">
        <v>5</v>
      </c>
      <c r="C1" s="3" t="s">
        <v>3</v>
      </c>
      <c r="D1" s="3" t="s">
        <v>4</v>
      </c>
    </row>
    <row r="2" spans="1:5" x14ac:dyDescent="0.25">
      <c r="A2" s="4">
        <v>43282</v>
      </c>
      <c r="B2" s="2">
        <v>1794.2</v>
      </c>
      <c r="C2" s="5">
        <v>687.56</v>
      </c>
      <c r="D2" s="5">
        <v>928.20600000000002</v>
      </c>
      <c r="E2" s="2"/>
    </row>
    <row r="3" spans="1:5" x14ac:dyDescent="0.25">
      <c r="A3" s="4">
        <v>43313</v>
      </c>
      <c r="B3" s="2">
        <v>1831.31</v>
      </c>
      <c r="C3" s="5">
        <v>724.66999999999985</v>
      </c>
      <c r="D3" s="5">
        <v>978.30449999999985</v>
      </c>
      <c r="E3" s="2"/>
    </row>
    <row r="4" spans="1:5" x14ac:dyDescent="0.25">
      <c r="A4" s="4">
        <v>43344</v>
      </c>
      <c r="B4" s="2">
        <v>1950.91</v>
      </c>
      <c r="C4" s="5">
        <v>844.27</v>
      </c>
      <c r="D4" s="5">
        <v>1139.7645</v>
      </c>
      <c r="E4" s="2"/>
    </row>
    <row r="5" spans="1:5" x14ac:dyDescent="0.25">
      <c r="A5" s="4">
        <v>43374</v>
      </c>
      <c r="B5" s="2">
        <v>2066.3000000000002</v>
      </c>
      <c r="C5" s="5">
        <v>959.66000000000008</v>
      </c>
      <c r="D5" s="5">
        <v>1295.5410000000002</v>
      </c>
      <c r="E5" s="2"/>
    </row>
    <row r="6" spans="1:5" x14ac:dyDescent="0.25">
      <c r="A6" s="4">
        <v>43405</v>
      </c>
      <c r="B6" s="2">
        <v>1973.85</v>
      </c>
      <c r="C6" s="5">
        <v>867.20999999999981</v>
      </c>
      <c r="D6" s="5">
        <v>1170.7334999999998</v>
      </c>
      <c r="E6" s="2"/>
    </row>
    <row r="7" spans="1:5" x14ac:dyDescent="0.25">
      <c r="A7" s="4">
        <v>43435</v>
      </c>
      <c r="B7" s="2">
        <v>1846.1</v>
      </c>
      <c r="C7" s="5">
        <v>739.45999999999981</v>
      </c>
      <c r="D7" s="5">
        <v>998.27099999999984</v>
      </c>
      <c r="E7" s="2"/>
    </row>
    <row r="8" spans="1:5" x14ac:dyDescent="0.25">
      <c r="A8" s="4" t="s">
        <v>6</v>
      </c>
      <c r="B8" s="2">
        <v>1538.28</v>
      </c>
      <c r="C8" s="5">
        <v>431.63999999999987</v>
      </c>
      <c r="D8" s="5">
        <v>582.71399999999983</v>
      </c>
      <c r="E8" s="2"/>
    </row>
    <row r="9" spans="1:5" x14ac:dyDescent="0.25">
      <c r="A9" s="4">
        <v>43466</v>
      </c>
      <c r="B9" s="2">
        <v>1812.36</v>
      </c>
      <c r="C9" s="5">
        <v>654.67999999999984</v>
      </c>
      <c r="D9" s="5">
        <v>883.81799999999987</v>
      </c>
      <c r="E9" s="2"/>
    </row>
    <row r="10" spans="1:5" x14ac:dyDescent="0.25">
      <c r="A10" s="4">
        <v>43497</v>
      </c>
      <c r="B10" s="2">
        <v>1865.81</v>
      </c>
      <c r="C10" s="5">
        <v>708.12999999999988</v>
      </c>
      <c r="D10" s="5">
        <v>955.9754999999999</v>
      </c>
      <c r="E10" s="2"/>
    </row>
    <row r="11" spans="1:5" x14ac:dyDescent="0.25">
      <c r="A11" s="4">
        <v>43525</v>
      </c>
      <c r="B11" s="2">
        <v>1875.84</v>
      </c>
      <c r="C11" s="5">
        <v>718.15999999999985</v>
      </c>
      <c r="D11" s="5">
        <v>969.51599999999985</v>
      </c>
      <c r="E11" s="2"/>
    </row>
    <row r="12" spans="1:5" x14ac:dyDescent="0.25">
      <c r="B12" s="6"/>
      <c r="C12" s="5">
        <f>SUM(C2:C11)</f>
        <v>7335.44</v>
      </c>
      <c r="D12" s="5">
        <f>SUM(D2:D11)</f>
        <v>9902.8439999999991</v>
      </c>
    </row>
    <row r="13" spans="1:5" x14ac:dyDescent="0.25">
      <c r="C13" s="5"/>
    </row>
  </sheetData>
  <sortState ref="A47:B64">
    <sortCondition ref="A47:A64"/>
  </sortState>
  <conditionalFormatting sqref="D1:D1048576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Dev2</dc:creator>
  <cp:lastModifiedBy>Dev2</cp:lastModifiedBy>
  <dcterms:created xsi:type="dcterms:W3CDTF">2020-03-16T15:07:10Z</dcterms:created>
  <dcterms:modified xsi:type="dcterms:W3CDTF">2020-04-17T12:50:38Z</dcterms:modified>
</cp:coreProperties>
</file>